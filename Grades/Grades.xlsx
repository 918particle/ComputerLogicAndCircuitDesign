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<sst xmlns="http://schemas.openxmlformats.org/spreadsheetml/2006/main" count="41" uniqueCount="36">
  <si>
    <t xml:space="preserve">First name</t>
  </si>
  <si>
    <t xml:space="preserve">Surname</t>
  </si>
  <si>
    <t xml:space="preserve">Email address</t>
  </si>
  <si>
    <t xml:space="preserve">Homework 1</t>
  </si>
  <si>
    <t xml:space="preserve">Homework 2</t>
  </si>
  <si>
    <t xml:space="preserve">Homework 3</t>
  </si>
  <si>
    <t xml:space="preserve">Homework 4</t>
  </si>
  <si>
    <t xml:space="preserve">Homework 5</t>
  </si>
  <si>
    <t xml:space="preserve">Midterm 1</t>
  </si>
  <si>
    <t xml:space="preserve">Final Project Proposal</t>
  </si>
  <si>
    <t xml:space="preserve">Homework 6</t>
  </si>
  <si>
    <t xml:space="preserve">Midterm 2</t>
  </si>
  <si>
    <t xml:space="preserve">Homework 7</t>
  </si>
  <si>
    <t xml:space="preserve">Final Project</t>
  </si>
  <si>
    <t xml:space="preserve">Luka</t>
  </si>
  <si>
    <t xml:space="preserve">Kenderian</t>
  </si>
  <si>
    <t xml:space="preserve">tkenderi@poets.whittier.edu</t>
  </si>
  <si>
    <t xml:space="preserve">Kamarina</t>
  </si>
  <si>
    <t xml:space="preserve">Hewett</t>
  </si>
  <si>
    <t xml:space="preserve">khewett@poets.whittier.edu</t>
  </si>
  <si>
    <t xml:space="preserve">--</t>
  </si>
  <si>
    <t xml:space="preserve">Gary</t>
  </si>
  <si>
    <t xml:space="preserve">He</t>
  </si>
  <si>
    <t xml:space="preserve">che@poets.whittier.edu</t>
  </si>
  <si>
    <t xml:space="preserve">David</t>
  </si>
  <si>
    <t xml:space="preserve">Contreras</t>
  </si>
  <si>
    <t xml:space="preserve">dcontre1@poets.whittier.edu</t>
  </si>
  <si>
    <t xml:space="preserve">Oswen</t>
  </si>
  <si>
    <t xml:space="preserve">Martinez</t>
  </si>
  <si>
    <t xml:space="preserve">omartine@poets.whittier.edu</t>
  </si>
  <si>
    <t xml:space="preserve">Loren</t>
  </si>
  <si>
    <t xml:space="preserve">Grey</t>
  </si>
  <si>
    <t xml:space="preserve">lgrey@poets.whittier.edu</t>
  </si>
  <si>
    <t xml:space="preserve">Ty</t>
  </si>
  <si>
    <t xml:space="preserve">Carlson</t>
  </si>
  <si>
    <t xml:space="preserve">tcarlson@poets.whittier.edu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</si>
</sst>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P10" activeCellId="0" sqref="P10"/>
    </sheetView>
  </sheetViews>
  <sheetFormatPr defaultColWidth="8.578125" defaultRowHeight="12.8" zeroHeight="false" outlineLevelRow="0" outlineLevelCol="0"/>
  <cols>
    <col collapsed="false" customWidth="true" hidden="false" outlineLevel="0" max="6" min="6" style="0" width="11.39"/>
    <col collapsed="false" customWidth="true" hidden="false" outlineLevel="0" max="7" min="7" style="0" width="11.3"/>
    <col collapsed="false" customWidth="true" hidden="false" outlineLevel="0" max="8" min="8" style="0" width="11.5"/>
    <col collapsed="false" customWidth="true" hidden="false" outlineLevel="0" max="9" min="9" style="0" width="12.1"/>
    <col collapsed="false" customWidth="true" hidden="false" outlineLevel="0" max="10" min="10" style="0" width="11.3"/>
    <col collapsed="false" customWidth="true" hidden="false" outlineLevel="0" max="11" min="11" style="0" width="12.6"/>
    <col collapsed="false" customWidth="true" hidden="false" outlineLevel="0" max="12" min="12" style="0" width="17.95"/>
    <col collapsed="false" customWidth="true" hidden="false" outlineLevel="0" max="13" min="13" style="0" width="11.3"/>
    <col collapsed="false" customWidth="true" hidden="false" outlineLevel="0" max="14" min="14" style="0" width="11.6"/>
    <col collapsed="false" customWidth="true" hidden="false" outlineLevel="0" max="15" min="15" style="0" width="11.09"/>
    <col collapsed="false" customWidth="true" hidden="false" outlineLevel="0" max="16" min="16" style="0" width="10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/>
      <c r="B2" s="1"/>
      <c r="C2" s="1"/>
      <c r="F2" s="0" t="s">
        <v>3</v>
      </c>
      <c r="G2" s="0" t="s">
        <v>4</v>
      </c>
      <c r="H2" s="0" t="s">
        <v>5</v>
      </c>
      <c r="I2" s="0" t="s">
        <v>6</v>
      </c>
      <c r="J2" s="0" t="s">
        <v>7</v>
      </c>
      <c r="K2" s="0" t="s">
        <v>8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F3" s="0" t="n">
        <f aca="false">12.5/17</f>
        <v>0.735294117647059</v>
      </c>
      <c r="G3" s="0" t="n">
        <v>0</v>
      </c>
      <c r="H3" s="0" t="n">
        <f aca="false">1</f>
        <v>1</v>
      </c>
      <c r="I3" s="0" t="n">
        <f aca="false">1</f>
        <v>1</v>
      </c>
      <c r="J3" s="0" t="n">
        <f aca="false">28/30</f>
        <v>0.933333333333333</v>
      </c>
      <c r="K3" s="0" t="n">
        <f aca="false">21/30</f>
        <v>0.7</v>
      </c>
      <c r="L3" s="0" t="n">
        <v>1</v>
      </c>
      <c r="M3" s="0" t="n">
        <f aca="false">1</f>
        <v>1</v>
      </c>
      <c r="O3" s="0" t="n">
        <f aca="false">0</f>
        <v>0</v>
      </c>
      <c r="P3" s="0" t="n">
        <f aca="false">1</f>
        <v>1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F4" s="0" t="n">
        <f aca="false">16/17</f>
        <v>0.941176470588235</v>
      </c>
      <c r="G4" s="0" t="n">
        <v>1</v>
      </c>
      <c r="H4" s="0" t="n">
        <v>1</v>
      </c>
      <c r="I4" s="0" t="n">
        <f aca="false">1</f>
        <v>1</v>
      </c>
      <c r="J4" s="0" t="n">
        <f aca="false">0</f>
        <v>0</v>
      </c>
      <c r="K4" s="0" t="n">
        <f aca="false">28.5/30</f>
        <v>0.95</v>
      </c>
      <c r="L4" s="0" t="n">
        <v>1</v>
      </c>
      <c r="M4" s="0" t="n">
        <f aca="false">9/10</f>
        <v>0.9</v>
      </c>
      <c r="O4" s="0" t="n">
        <f aca="false">0</f>
        <v>0</v>
      </c>
      <c r="P4" s="0" t="n">
        <f aca="false">1</f>
        <v>1</v>
      </c>
    </row>
    <row r="5" customFormat="false" ht="15" hidden="false" customHeight="false" outlineLevel="0" collapsed="false">
      <c r="F5" s="0" t="s">
        <v>20</v>
      </c>
      <c r="G5" s="0" t="s">
        <v>20</v>
      </c>
      <c r="H5" s="0" t="s">
        <v>20</v>
      </c>
      <c r="I5" s="0" t="s">
        <v>20</v>
      </c>
      <c r="J5" s="0" t="s">
        <v>20</v>
      </c>
      <c r="K5" s="0" t="s">
        <v>20</v>
      </c>
    </row>
    <row r="6" customFormat="false" ht="15" hidden="false" customHeight="false" outlineLevel="0" collapsed="false">
      <c r="A6" s="1" t="s">
        <v>21</v>
      </c>
      <c r="B6" s="1" t="s">
        <v>22</v>
      </c>
      <c r="C6" s="1" t="s">
        <v>23</v>
      </c>
      <c r="F6" s="0" t="n">
        <f aca="false">14/17</f>
        <v>0.823529411764706</v>
      </c>
      <c r="G6" s="0" t="n">
        <v>1</v>
      </c>
      <c r="H6" s="0" t="n">
        <v>1</v>
      </c>
      <c r="I6" s="0" t="n">
        <f aca="false">1</f>
        <v>1</v>
      </c>
      <c r="J6" s="0" t="n">
        <f aca="false">27/30</f>
        <v>0.9</v>
      </c>
      <c r="K6" s="0" t="n">
        <f aca="false">27/30</f>
        <v>0.9</v>
      </c>
      <c r="L6" s="0" t="n">
        <v>1</v>
      </c>
      <c r="M6" s="0" t="n">
        <f aca="false">13/10</f>
        <v>1.3</v>
      </c>
      <c r="O6" s="0" t="n">
        <f aca="false">0</f>
        <v>0</v>
      </c>
      <c r="P6" s="0" t="n">
        <f aca="false">1.2</f>
        <v>1.2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26</v>
      </c>
      <c r="F7" s="0" t="n">
        <f aca="false">11/17</f>
        <v>0.647058823529412</v>
      </c>
      <c r="G7" s="0" t="n">
        <v>1</v>
      </c>
      <c r="H7" s="0" t="n">
        <v>1</v>
      </c>
      <c r="I7" s="0" t="n">
        <f aca="false">0.5</f>
        <v>0.5</v>
      </c>
      <c r="J7" s="0" t="n">
        <f aca="false">28/30</f>
        <v>0.933333333333333</v>
      </c>
      <c r="K7" s="0" t="n">
        <f aca="false">24/30</f>
        <v>0.8</v>
      </c>
      <c r="L7" s="0" t="n">
        <v>1</v>
      </c>
      <c r="M7" s="0" t="n">
        <f aca="false">13/10</f>
        <v>1.3</v>
      </c>
      <c r="O7" s="0" t="n">
        <f aca="false">10/10</f>
        <v>1</v>
      </c>
      <c r="P7" s="0" t="n">
        <f aca="false">1</f>
        <v>1</v>
      </c>
    </row>
    <row r="8" customFormat="false" ht="15" hidden="false" customHeight="false" outlineLevel="0" collapsed="false">
      <c r="A8" s="1" t="s">
        <v>27</v>
      </c>
      <c r="B8" s="1" t="s">
        <v>28</v>
      </c>
      <c r="C8" s="1" t="s">
        <v>29</v>
      </c>
      <c r="F8" s="0" t="n">
        <f aca="false">14/17</f>
        <v>0.823529411764706</v>
      </c>
      <c r="G8" s="0" t="n">
        <v>1</v>
      </c>
      <c r="H8" s="0" t="n">
        <v>1</v>
      </c>
      <c r="I8" s="0" t="n">
        <f aca="false">0.67</f>
        <v>0.67</v>
      </c>
      <c r="J8" s="0" t="n">
        <f aca="false">0</f>
        <v>0</v>
      </c>
      <c r="K8" s="0" t="n">
        <f aca="false">25.5/30</f>
        <v>0.85</v>
      </c>
      <c r="L8" s="0" t="n">
        <v>1</v>
      </c>
      <c r="M8" s="0" t="n">
        <f aca="false">10/10</f>
        <v>1</v>
      </c>
      <c r="O8" s="0" t="n">
        <f aca="false">0</f>
        <v>0</v>
      </c>
      <c r="P8" s="0" t="n">
        <f aca="false">1</f>
        <v>1</v>
      </c>
    </row>
    <row r="9" customFormat="false" ht="15" hidden="false" customHeight="false" outlineLevel="0" collapsed="false">
      <c r="A9" s="1" t="s">
        <v>30</v>
      </c>
      <c r="B9" s="1" t="s">
        <v>31</v>
      </c>
      <c r="C9" s="1" t="s">
        <v>32</v>
      </c>
      <c r="F9" s="0" t="n">
        <f aca="false">15/17</f>
        <v>0.882352941176471</v>
      </c>
      <c r="G9" s="0" t="n">
        <v>1</v>
      </c>
      <c r="H9" s="0" t="n">
        <v>1</v>
      </c>
      <c r="I9" s="0" t="n">
        <f aca="false">0.67</f>
        <v>0.67</v>
      </c>
      <c r="J9" s="0" t="n">
        <f aca="false">25/30</f>
        <v>0.833333333333333</v>
      </c>
      <c r="K9" s="0" t="n">
        <f aca="false">26.5/30</f>
        <v>0.883333333333333</v>
      </c>
      <c r="L9" s="0" t="n">
        <v>1</v>
      </c>
      <c r="M9" s="0" t="n">
        <f aca="false">10/10</f>
        <v>1</v>
      </c>
      <c r="O9" s="0" t="n">
        <f aca="false">0</f>
        <v>0</v>
      </c>
      <c r="P9" s="0" t="n">
        <f aca="false">1</f>
        <v>1</v>
      </c>
    </row>
    <row r="10" customFormat="false" ht="15" hidden="false" customHeight="false" outlineLevel="0" collapsed="false">
      <c r="A10" s="1" t="s">
        <v>33</v>
      </c>
      <c r="B10" s="1" t="s">
        <v>34</v>
      </c>
      <c r="C10" s="1" t="s">
        <v>35</v>
      </c>
      <c r="F10" s="0" t="n">
        <f aca="false">14/17</f>
        <v>0.823529411764706</v>
      </c>
      <c r="G10" s="0" t="n">
        <v>1</v>
      </c>
      <c r="H10" s="0" t="n">
        <v>1</v>
      </c>
      <c r="I10" s="0" t="n">
        <f aca="false">0</f>
        <v>0</v>
      </c>
      <c r="J10" s="0" t="n">
        <f aca="false">0</f>
        <v>0</v>
      </c>
      <c r="K10" s="0" t="n">
        <f aca="false">27/30</f>
        <v>0.9</v>
      </c>
      <c r="L10" s="0" t="n">
        <v>1</v>
      </c>
      <c r="M10" s="0" t="n">
        <v>0</v>
      </c>
      <c r="O10" s="0" t="n">
        <f aca="false">0</f>
        <v>0</v>
      </c>
      <c r="P10" s="0" t="n">
        <f aca="false">1</f>
        <v>1</v>
      </c>
    </row>
    <row r="11" customFormat="false" ht="15" hidden="false" customHeight="false" outlineLevel="0" collapsed="false">
      <c r="A11" s="1"/>
      <c r="B11" s="1"/>
      <c r="C1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2024-01-30T22:07:57Z</dcterms:created>
  <dc:creator/>
  <dc:description/>
  <dc:language>en-US</dc:language>
  <cp:lastModifiedBy/>
  <dcterms:modified xsi:type="dcterms:W3CDTF">2024-04-26T13:03:14Z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