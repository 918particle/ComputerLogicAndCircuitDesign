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<sst xmlns="http://schemas.openxmlformats.org/spreadsheetml/2006/main" count="67" uniqueCount="44">
  <si>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</si>
  <si>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</si>
  <si>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</si>
  <si>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</si>
  <si>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</si>
  <si>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</si>
  <si>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</si>
  <si>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</si>
  <si>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</si>
  <si>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</si>
  <si>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Homework 6</t>
  </si>
  <si>
    <t xml:space="preserve">Midterm 2</t>
  </si>
  <si>
    <t xml:space="preserve">Homework 7</t>
  </si>
  <si>
    <t xml:space="preserve">Final Project</t>
  </si>
  <si>
    <t xml:space="preserve">Raw Final Grade</t>
  </si>
  <si>
    <t xml:space="preserve">w/ Curve</t>
  </si>
  <si>
    <t xml:space="preserve">Letter</t>
  </si>
  <si>
    <t xml:space="preserve">Luka</t>
  </si>
  <si>
    <t xml:space="preserve">Kenderian</t>
  </si>
  <si>
    <t xml:space="preserve">tkenderi@poets.whittier.edu</t>
  </si>
  <si>
    <t xml:space="preserve">B-</t>
  </si>
  <si>
    <t xml:space="preserve">Kamarina</t>
  </si>
  <si>
    <t xml:space="preserve">Hewett</t>
  </si>
  <si>
    <t xml:space="preserve">khewett@poets.whittier.edu</t>
  </si>
  <si>
    <t xml:space="preserve">A-</t>
  </si>
  <si>
    <t xml:space="preserve">--</t>
  </si>
  <si>
    <t xml:space="preserve">Gary</t>
  </si>
  <si>
    <t xml:space="preserve">He</t>
  </si>
  <si>
    <t xml:space="preserve">che@poets.whittier.edu</t>
  </si>
  <si>
    <t xml:space="preserve">A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</si>
  <si>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</si>
  <si>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</si>
  <si>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</si>
  <si>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</si>
  <si>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</si>
  <si>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</si>
  <si>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B+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</si>
  <si>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</si>
  <si>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</si>
  <si>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</si>
  <si>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</si>
  <si>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</si>
  <si>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</si>
  <si>
    <t xml:space="preserve">A+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</si>
</sst>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20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selection pane="topLeft" activeCell="S7" activeCellId="0" sqref="S7"/>
    </sheetView>
  </sheetViews>
  <sheetFormatPr defaultColWidth="8.601562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  <col collapsed="false" customWidth="true" hidden="false" outlineLevel="0" max="13" min="13" style="0" width="11.3"/>
    <col collapsed="false" customWidth="true" hidden="false" outlineLevel="0" max="14" min="14" style="0" width="11.6"/>
    <col collapsed="false" customWidth="true" hidden="false" outlineLevel="0" max="15" min="15" style="0" width="11.09"/>
    <col collapsed="false" customWidth="true" hidden="false" outlineLevel="0" max="16" min="16" style="0" width="10.79"/>
    <col collapsed="false" customWidth="true" hidden="false" outlineLevel="0" max="17" min="17" style="0" width="14.6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S1" s="2"/>
      <c r="T1" s="2" t="s">
        <v>0</v>
      </c>
      <c r="U1" s="2" t="s">
        <v>1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  <c r="M2" s="0" t="s">
        <v>10</v>
      </c>
      <c r="N2" s="0" t="s">
        <v>11</v>
      </c>
      <c r="O2" s="0" t="s">
        <v>12</v>
      </c>
      <c r="P2" s="0" t="s">
        <v>13</v>
      </c>
      <c r="Q2" s="0" t="s">
        <v>14</v>
      </c>
      <c r="R2" s="0" t="s">
        <v>15</v>
      </c>
      <c r="S2" s="2" t="s">
        <v>16</v>
      </c>
      <c r="T2" s="2"/>
      <c r="U2" s="2"/>
    </row>
    <row r="3" customFormat="false" ht="15" hidden="false" customHeight="false" outlineLevel="0" collapsed="false">
      <c r="A3" s="1" t="s">
        <v>17</v>
      </c>
      <c r="B3" s="1" t="s">
        <v>18</v>
      </c>
      <c r="C3" s="1" t="s">
        <v>19</v>
      </c>
      <c r="F3" s="0" t="n">
        <f aca="false">12.5/17</f>
        <v>0.735294117647059</v>
      </c>
      <c r="G3" s="0" t="n">
        <v>0</v>
      </c>
      <c r="H3" s="0" t="n">
        <f aca="false">1</f>
        <v>1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  <c r="L3" s="0" t="n">
        <v>1</v>
      </c>
      <c r="M3" s="0" t="n">
        <f aca="false">1</f>
        <v>1</v>
      </c>
      <c r="N3" s="0" t="n">
        <f aca="false">33/40</f>
        <v>0.825</v>
      </c>
      <c r="O3" s="0" t="n">
        <f aca="false">0</f>
        <v>0</v>
      </c>
      <c r="P3" s="0" t="n">
        <f aca="false">1</f>
        <v>1</v>
      </c>
      <c r="Q3" s="0" t="n">
        <f aca="false">0.3*(F3+G3+H3+I3+J3+M3+O3)/7+MAX(K3,N3)*0.3+MIN(K3,N3)*0.25+0.15*P3</f>
        <v>0.772584033613445</v>
      </c>
      <c r="R3" s="0" t="n">
        <f aca="false">Q3+0.3/7</f>
        <v>0.815441176470588</v>
      </c>
      <c r="S3" s="2" t="s">
        <v>20</v>
      </c>
      <c r="T3" s="2" t="s">
        <v>17</v>
      </c>
      <c r="U3" s="2" t="s">
        <v>18</v>
      </c>
    </row>
    <row r="4" customFormat="false" ht="15" hidden="false" customHeight="false" outlineLevel="0" collapsed="false">
      <c r="A4" s="1" t="s">
        <v>21</v>
      </c>
      <c r="B4" s="1" t="s">
        <v>22</v>
      </c>
      <c r="C4" s="1" t="s">
        <v>23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  <c r="L4" s="0" t="n">
        <v>1</v>
      </c>
      <c r="M4" s="0" t="n">
        <f aca="false">9/10</f>
        <v>0.9</v>
      </c>
      <c r="N4" s="0" t="n">
        <f aca="false">35/40</f>
        <v>0.875</v>
      </c>
      <c r="O4" s="0" t="n">
        <f aca="false">0</f>
        <v>0</v>
      </c>
      <c r="P4" s="0" t="n">
        <f aca="false">1</f>
        <v>1</v>
      </c>
      <c r="Q4" s="0" t="n">
        <f aca="false">0.3*(F4+G4+H4+I4+J4+M4+O4)/7+MAX(K4,N4)*0.3+MIN(K4,N4)*0.25+0.15*P4</f>
        <v>0.861228991596639</v>
      </c>
      <c r="R4" s="0" t="n">
        <f aca="false">Q4+0.3/7</f>
        <v>0.904086134453781</v>
      </c>
      <c r="S4" s="2" t="s">
        <v>24</v>
      </c>
      <c r="T4" s="2" t="s">
        <v>21</v>
      </c>
      <c r="U4" s="2" t="s">
        <v>22</v>
      </c>
    </row>
    <row r="5" customFormat="false" ht="15" hidden="false" customHeight="false" outlineLevel="0" collapsed="false">
      <c r="F5" s="0" t="s">
        <v>25</v>
      </c>
      <c r="G5" s="0" t="s">
        <v>25</v>
      </c>
      <c r="H5" s="0" t="s">
        <v>25</v>
      </c>
      <c r="I5" s="0" t="s">
        <v>25</v>
      </c>
      <c r="J5" s="0" t="s">
        <v>25</v>
      </c>
      <c r="K5" s="0" t="s">
        <v>25</v>
      </c>
      <c r="S5" s="2"/>
      <c r="T5" s="2"/>
      <c r="U5" s="2"/>
    </row>
    <row r="6" customFormat="false" ht="15" hidden="false" customHeight="false" outlineLevel="0" collapsed="false">
      <c r="A6" s="1" t="s">
        <v>26</v>
      </c>
      <c r="B6" s="1" t="s">
        <v>27</v>
      </c>
      <c r="C6" s="1" t="s">
        <v>28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  <c r="L6" s="0" t="n">
        <v>1</v>
      </c>
      <c r="M6" s="0" t="n">
        <f aca="false">13/10</f>
        <v>1.3</v>
      </c>
      <c r="N6" s="0" t="n">
        <f aca="false">31/40</f>
        <v>0.775</v>
      </c>
      <c r="O6" s="0" t="n">
        <f aca="false">0</f>
        <v>0</v>
      </c>
      <c r="P6" s="0" t="n">
        <f aca="false">1.2</f>
        <v>1.2</v>
      </c>
      <c r="Q6" s="0" t="n">
        <f aca="false">0.3*(F6+G6+H6+I6+J6+M6+O6)/7+MAX(K6,N6)*0.3+MIN(K6,N6)*0.25+0.15*P6</f>
        <v>0.901901260504202</v>
      </c>
      <c r="R6" s="0" t="n">
        <f aca="false">Q6+0.3/7</f>
        <v>0.944758403361344</v>
      </c>
      <c r="S6" s="2" t="s">
        <v>29</v>
      </c>
      <c r="T6" s="2" t="s">
        <v>26</v>
      </c>
      <c r="U6" s="2" t="s">
        <v>27</v>
      </c>
    </row>
    <row r="7" customFormat="false" ht="15" hidden="false" customHeight="false" outlineLevel="0" collapsed="false">
      <c r="A7" s="1" t="s">
        <v>30</v>
      </c>
      <c r="B7" s="1" t="s">
        <v>31</v>
      </c>
      <c r="C7" s="1" t="s">
        <v>32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  <c r="L7" s="0" t="n">
        <v>1</v>
      </c>
      <c r="M7" s="0" t="n">
        <f aca="false">13/10</f>
        <v>1.3</v>
      </c>
      <c r="N7" s="0" t="n">
        <f aca="false">33/40</f>
        <v>0.825</v>
      </c>
      <c r="O7" s="0" t="n">
        <f aca="false">10/10</f>
        <v>1</v>
      </c>
      <c r="P7" s="0" t="n">
        <f aca="false">1</f>
        <v>1</v>
      </c>
      <c r="Q7" s="0" t="n">
        <f aca="false">0.3*(F7+G7+H7+I7+J7+M7+O7)/7+MAX(K7,N7)*0.3+MIN(K7,N7)*0.25+0.15*P7</f>
        <v>0.87094537815126</v>
      </c>
      <c r="R7" s="0" t="n">
        <f aca="false">Q7+0.3/7</f>
        <v>0.913802521008403</v>
      </c>
      <c r="S7" s="2" t="s">
        <v>24</v>
      </c>
      <c r="T7" s="2" t="s">
        <v>30</v>
      </c>
      <c r="U7" s="2" t="s">
        <v>31</v>
      </c>
    </row>
    <row r="8" customFormat="false" ht="15" hidden="false" customHeight="false" outlineLevel="0" collapsed="false">
      <c r="A8" s="1" t="s">
        <v>33</v>
      </c>
      <c r="B8" s="1" t="s">
        <v>34</v>
      </c>
      <c r="C8" s="1" t="s">
        <v>35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  <c r="L8" s="0" t="n">
        <v>1</v>
      </c>
      <c r="M8" s="0" t="n">
        <f aca="false">10/10</f>
        <v>1</v>
      </c>
      <c r="N8" s="0" t="n">
        <f aca="false">36/40</f>
        <v>0.9</v>
      </c>
      <c r="O8" s="0" t="n">
        <f aca="false">0</f>
        <v>0</v>
      </c>
      <c r="P8" s="0" t="n">
        <f aca="false">1</f>
        <v>1</v>
      </c>
      <c r="Q8" s="0" t="n">
        <f aca="false">0.3*(F8+G8+H8+I8+J8+M8+O8)/7+MAX(K8,N8)*0.3+MIN(K8,N8)*0.25+0.15*P8</f>
        <v>0.825079831932773</v>
      </c>
      <c r="R8" s="0" t="n">
        <f aca="false">Q8+0.3/7</f>
        <v>0.867936974789916</v>
      </c>
      <c r="S8" s="2" t="s">
        <v>36</v>
      </c>
      <c r="T8" s="2" t="s">
        <v>33</v>
      </c>
      <c r="U8" s="2" t="s">
        <v>34</v>
      </c>
    </row>
    <row r="9" customFormat="false" ht="15" hidden="false" customHeight="false" outlineLevel="0" collapsed="false">
      <c r="A9" s="1" t="s">
        <v>37</v>
      </c>
      <c r="B9" s="1" t="s">
        <v>38</v>
      </c>
      <c r="C9" s="1" t="s">
        <v>39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  <c r="L9" s="0" t="n">
        <v>1</v>
      </c>
      <c r="M9" s="0" t="n">
        <f aca="false">10/10</f>
        <v>1</v>
      </c>
      <c r="N9" s="0" t="n">
        <f aca="false">39/40</f>
        <v>0.975</v>
      </c>
      <c r="O9" s="0" t="n">
        <f aca="false">0</f>
        <v>0</v>
      </c>
      <c r="P9" s="0" t="n">
        <f aca="false">1</f>
        <v>1</v>
      </c>
      <c r="Q9" s="0" t="n">
        <f aca="false">0.3*(F9+G9+H9+I9+J9+M9+O9)/7+MAX(K9,N9)*0.3+MIN(K9,N9)*0.25+0.15*P9</f>
        <v>0.894148459383753</v>
      </c>
      <c r="R9" s="0" t="n">
        <f aca="false">Q9+0.3/7</f>
        <v>0.937005602240896</v>
      </c>
      <c r="S9" s="2" t="s">
        <v>29</v>
      </c>
      <c r="T9" s="2" t="s">
        <v>37</v>
      </c>
      <c r="U9" s="2" t="s">
        <v>38</v>
      </c>
    </row>
    <row r="10" customFormat="false" ht="15" hidden="false" customHeight="false" outlineLevel="0" collapsed="false">
      <c r="A10" s="1" t="s">
        <v>40</v>
      </c>
      <c r="B10" s="1" t="s">
        <v>41</v>
      </c>
      <c r="C10" s="1" t="s">
        <v>42</v>
      </c>
      <c r="F10" s="0" t="n">
        <f aca="false">14/17</f>
        <v>0.823529411764706</v>
      </c>
      <c r="G10" s="0" t="n">
        <v>1</v>
      </c>
      <c r="H10" s="0" t="n">
        <v>1</v>
      </c>
      <c r="I10" s="0" t="n">
        <f aca="false">1</f>
        <v>1</v>
      </c>
      <c r="J10" s="0" t="n">
        <f aca="false">24/30</f>
        <v>0.8</v>
      </c>
      <c r="K10" s="0" t="n">
        <f aca="false">27/30</f>
        <v>0.9</v>
      </c>
      <c r="L10" s="0" t="n">
        <v>1</v>
      </c>
      <c r="M10" s="0" t="n">
        <f aca="false">10/10</f>
        <v>1</v>
      </c>
      <c r="N10" s="0" t="n">
        <f aca="false">40/40</f>
        <v>1</v>
      </c>
      <c r="O10" s="0" t="n">
        <f aca="false">0</f>
        <v>0</v>
      </c>
      <c r="P10" s="0" t="n">
        <f aca="false">1</f>
        <v>1</v>
      </c>
      <c r="Q10" s="0" t="n">
        <f aca="false">0.3*(F10+G10+H10+I10+J10+M10+O10)/7+MAX(K10,N10)*0.3+MIN(K10,N10)*0.25+0.15*P10</f>
        <v>0.916008403361345</v>
      </c>
      <c r="R10" s="0" t="n">
        <f aca="false">Q10+0.3/7</f>
        <v>0.958865546218487</v>
      </c>
      <c r="S10" s="2" t="s">
        <v>43</v>
      </c>
      <c r="T10" s="2" t="s">
        <v>40</v>
      </c>
      <c r="U10" s="2" t="s">
        <v>41</v>
      </c>
    </row>
    <row r="11" customFormat="false" ht="12.8" hidden="false" customHeight="true" outlineLevel="0" collapsed="false">
      <c r="A11" s="1"/>
      <c r="B11" s="1"/>
      <c r="C11" s="1"/>
    </row>
    <row r="14" customFormat="false" ht="15" hidden="false" customHeight="false" outlineLevel="0" collapsed="false"/>
    <row r="15" customFormat="false" ht="15" hidden="false" customHeight="false" outlineLevel="0" collapsed="false"/>
    <row r="16" customFormat="false" ht="15" hidden="false" customHeight="false" outlineLevel="0" collapsed="false"/>
    <row r="17" customFormat="false" ht="15" hidden="false" customHeight="false" outlineLevel="0" collapsed="false"/>
    <row r="18" customFormat="false" ht="15" hidden="false" customHeight="false" outlineLevel="0" collapsed="false"/>
    <row r="19" customFormat="false" ht="15" hidden="false" customHeight="false" outlineLevel="0" collapsed="false"/>
    <row r="20" customFormat="false" ht="15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2024-05-05T14:10:39Z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