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<sst xmlns="http://schemas.openxmlformats.org/spreadsheetml/2006/main" count="41" uniqueCount="36">
  <si>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</si>
  <si>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</si>
  <si>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</si>
  <si>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</si>
  <si>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</si>
  <si>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</si>
  <si>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</si>
  <si>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</si>
  <si>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</si>
  <si>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</si>
  <si>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</si>
  <si>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Midterm 2</t>
  </si>
  <si>
    <t xml:space="preserve">Homework 7</t>
  </si>
  <si>
    <t xml:space="preserve">Final Project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</si>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</sst>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8.597656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  <col collapsed="false" customWidth="true" hidden="false" outlineLevel="0" max="14" min="14" style="0" width="11.6"/>
    <col collapsed="false" customWidth="true" hidden="false" outlineLevel="0" max="15" min="15" style="0" width="11.09"/>
    <col collapsed="false" customWidth="true" hidden="false" outlineLevel="0" max="16" min="16" style="0" width="10.7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  <c r="N2" s="0" t="s">
        <v>11</v>
      </c>
      <c r="O2" s="0" t="s">
        <v>12</v>
      </c>
      <c r="P2" s="0" t="s">
        <v>13</v>
      </c>
    </row>
    <row r="3" customFormat="false" ht="12.8" hidden="false" customHeight="false" outlineLevel="0" collapsed="false">
      <c r="A3" s="1" t="s">
        <v>14</v>
      </c>
      <c r="B3" s="1" t="s">
        <v>15</v>
      </c>
      <c r="C3" s="1" t="s">
        <v>16</v>
      </c>
      <c r="F3" s="0" t="n">
        <f aca="false">12.5/17</f>
        <v>0.735294117647059</v>
      </c>
      <c r="G3" s="0" t="n">
        <v>0</v>
      </c>
      <c r="H3" s="0" t="n">
        <f aca="false">1</f>
        <v>1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f aca="false">1</f>
        <v>1</v>
      </c>
      <c r="N3" s="0" t="n">
        <f aca="false">33/40</f>
        <v>0.825</v>
      </c>
      <c r="O3" s="0" t="n">
        <f aca="false">0</f>
        <v>0</v>
      </c>
      <c r="P3" s="0" t="n">
        <f aca="false">1</f>
        <v>1</v>
      </c>
    </row>
    <row r="4" customFormat="false" ht="12.8" hidden="false" customHeight="false" outlineLevel="0" collapsed="false">
      <c r="A4" s="1" t="s">
        <v>17</v>
      </c>
      <c r="B4" s="1" t="s">
        <v>18</v>
      </c>
      <c r="C4" s="1" t="s">
        <v>19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  <c r="N4" s="0" t="n">
        <f aca="false">35/40</f>
        <v>0.875</v>
      </c>
      <c r="O4" s="0" t="n">
        <f aca="false">0</f>
        <v>0</v>
      </c>
      <c r="P4" s="0" t="n">
        <f aca="false">1</f>
        <v>1</v>
      </c>
    </row>
    <row r="5" customFormat="false" ht="15" hidden="false" customHeight="false" outlineLevel="0" collapsed="false">
      <c r="F5" s="0" t="s">
        <v>20</v>
      </c>
      <c r="G5" s="0" t="s">
        <v>20</v>
      </c>
      <c r="H5" s="0" t="s">
        <v>20</v>
      </c>
      <c r="I5" s="0" t="s">
        <v>20</v>
      </c>
      <c r="J5" s="0" t="s">
        <v>20</v>
      </c>
      <c r="K5" s="0" t="s">
        <v>20</v>
      </c>
    </row>
    <row r="6" customFormat="false" ht="15" hidden="false" customHeight="false" outlineLevel="0" collapsed="false">
      <c r="A6" s="1" t="s">
        <v>21</v>
      </c>
      <c r="B6" s="1" t="s">
        <v>22</v>
      </c>
      <c r="C6" s="1" t="s">
        <v>23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  <c r="N6" s="0" t="n">
        <f aca="false">31/40</f>
        <v>0.775</v>
      </c>
      <c r="O6" s="0" t="n">
        <f aca="false">0</f>
        <v>0</v>
      </c>
      <c r="P6" s="0" t="n">
        <f aca="false">1.2</f>
        <v>1.2</v>
      </c>
    </row>
    <row r="7" customFormat="false" ht="15" hidden="false" customHeight="false" outlineLevel="0" collapsed="false">
      <c r="A7" s="1" t="s">
        <v>24</v>
      </c>
      <c r="B7" s="1" t="s">
        <v>25</v>
      </c>
      <c r="C7" s="1" t="s">
        <v>26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  <c r="N7" s="0" t="n">
        <f aca="false">33/40</f>
        <v>0.825</v>
      </c>
      <c r="O7" s="0" t="n">
        <f aca="false">10/10</f>
        <v>1</v>
      </c>
      <c r="P7" s="0" t="n">
        <f aca="false">1</f>
        <v>1</v>
      </c>
    </row>
    <row r="8" customFormat="false" ht="15" hidden="false" customHeight="false" outlineLevel="0" collapsed="false">
      <c r="A8" s="1" t="s">
        <v>27</v>
      </c>
      <c r="B8" s="1" t="s">
        <v>28</v>
      </c>
      <c r="C8" s="1" t="s">
        <v>29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f aca="false">10/10</f>
        <v>1</v>
      </c>
      <c r="N8" s="0" t="n">
        <f aca="false">36/40</f>
        <v>0.9</v>
      </c>
      <c r="O8" s="0" t="n">
        <f aca="false">0</f>
        <v>0</v>
      </c>
      <c r="P8" s="0" t="n">
        <f aca="false">1</f>
        <v>1</v>
      </c>
    </row>
    <row r="9" customFormat="false" ht="15" hidden="false" customHeight="false" outlineLevel="0" collapsed="false">
      <c r="A9" s="1" t="s">
        <v>30</v>
      </c>
      <c r="B9" s="1" t="s">
        <v>31</v>
      </c>
      <c r="C9" s="1" t="s">
        <v>32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  <c r="N9" s="0" t="n">
        <f aca="false">39/40</f>
        <v>0.975</v>
      </c>
      <c r="O9" s="0" t="n">
        <f aca="false">0</f>
        <v>0</v>
      </c>
      <c r="P9" s="0" t="n">
        <f aca="false">1</f>
        <v>1</v>
      </c>
    </row>
    <row r="10" customFormat="false" ht="15" hidden="false" customHeight="false" outlineLevel="0" collapsed="false">
      <c r="A10" s="1" t="s">
        <v>33</v>
      </c>
      <c r="B10" s="1" t="s">
        <v>34</v>
      </c>
      <c r="C10" s="1" t="s">
        <v>35</v>
      </c>
      <c r="F10" s="0" t="n">
        <f aca="false">14/17</f>
        <v>0.823529411764706</v>
      </c>
      <c r="G10" s="0" t="n">
        <v>1</v>
      </c>
      <c r="H10" s="0" t="n">
        <v>1</v>
      </c>
      <c r="I10" s="0" t="n">
        <f aca="false">0</f>
        <v>0</v>
      </c>
      <c r="J10" s="0" t="n">
        <f aca="false">0</f>
        <v>0</v>
      </c>
      <c r="K10" s="0" t="n">
        <f aca="false">27/30</f>
        <v>0.9</v>
      </c>
      <c r="L10" s="0" t="n">
        <v>1</v>
      </c>
      <c r="M10" s="0" t="n">
        <v>0</v>
      </c>
      <c r="N10" s="0" t="n">
        <f aca="false">40/40</f>
        <v>1</v>
      </c>
      <c r="O10" s="0" t="n">
        <f aca="false">0</f>
        <v>0</v>
      </c>
      <c r="P10" s="0" t="n">
        <f aca="false">1</f>
        <v>1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2024-05-03T12:26:08Z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